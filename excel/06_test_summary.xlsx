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ecution Data" sheetId="2" state="visible" r:id="rId4"/>
    <sheet name="Defect Data" sheetId="3" state="visible" r:id="rId5"/>
  </sheets>
  <definedNames>
    <definedName function="false" hidden="true" localSheetId="2" name="_xlnm._FilterDatabase" vbProcedure="false">'Defect Data'!$A$1:$R$1</definedName>
    <definedName function="false" hidden="true" localSheetId="1" name="_xlnm._FilterDatabase" vbProcedure="false">'Execution Data'!$A$1:$O$41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<sst xmlns="http://schemas.openxmlformats.org/spreadsheetml/2006/main" count="499" uniqueCount="185">
  <si>
    <t xml:space="preserve">EC-CUBE Manual QA Testing &amp; Bug Reporting — Test Summary</t>
  </si>
  <si>
    <t xml:space="preserve">Metrics on this sheet are formulas that read the Execution Data sheet. They are not typed values.</t>
  </si>
  <si>
    <t xml:space="preserve">Test Execution Status</t>
  </si>
  <si>
    <t xml:space="preserve">Pending</t>
  </si>
  <si>
    <t xml:space="preserve">Overall QA Assessment</t>
  </si>
  <si>
    <t xml:space="preserve">Pending actual test execution</t>
  </si>
  <si>
    <t xml:space="preserve">Release Recommendation</t>
  </si>
  <si>
    <t xml:space="preserve">Not assessed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</si>
  <si>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</si>
  <si>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</si>
  <si>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</si>
  <si>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</si>
  <si>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</si>
  <si>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Blocked</t>
  </si>
  <si>
    <t xml:space="preserve">Not Executed</t>
  </si>
  <si>
    <t xml:space="preserve">Not Applicable</t>
  </si>
  <si>
    <t xml:space="preserve">Executed Total</t>
  </si>
  <si>
    <t xml:space="preserve">Pass Rate</t>
  </si>
  <si>
    <t xml:space="preserve">Total Defects</t>
  </si>
  <si>
    <t xml:space="preserve">Critical Defects</t>
  </si>
  <si>
    <t xml:space="preserve">High Defects</t>
  </si>
  <si>
    <t xml:space="preserve">Medium Defects</t>
  </si>
  <si>
    <t xml:space="preserve">Low Defects</t>
  </si>
  <si>
    <t xml:space="preserve">Open Defects</t>
  </si>
  <si>
    <t xml:space="preserve">Closed Defects</t>
  </si>
  <si>
    <t xml:space="preserve">Execution ID</t>
  </si>
  <si>
    <t xml:space="preserve">Test Case ID</t>
  </si>
  <si>
    <t xml:space="preserve">Module</t>
  </si>
  <si>
    <t xml:space="preserve">Tester</t>
  </si>
  <si>
    <t xml:space="preserve">Environment ID</t>
  </si>
  <si>
    <t xml:space="preserve">Browser</t>
  </si>
  <si>
    <t xml:space="preserve">Operating System</t>
  </si>
  <si>
    <t xml:space="preserve">Execution Date</t>
  </si>
  <si>
    <t xml:space="preserve">Expected Result</t>
  </si>
  <si>
    <t xml:space="preserve">Actual Result</t>
  </si>
  <si>
    <t xml:space="preserve">Status</t>
  </si>
  <si>
    <t xml:space="preserve">Evidence ID</t>
  </si>
  <si>
    <t xml:space="preserve">Defect ID</t>
  </si>
  <si>
    <t xml:space="preserve">Retest Required</t>
  </si>
  <si>
    <t xml:space="preserve">Notes</t>
  </si>
  <si>
    <t xml:space="preserve">EXE-001</t>
  </si>
  <si>
    <t xml:space="preserve">TC-001</t>
  </si>
  <si>
    <t xml:space="preserve">Navigation</t>
  </si>
  <si>
    <t xml:space="preserve">ENV-EC-001</t>
  </si>
  <si>
    <t xml:space="preserve">Google Chrome</t>
  </si>
  <si>
    <t xml:space="preserve">macOS 15.2</t>
  </si>
  <si>
    <r>
      <rPr>
        <sz val="10"/>
        <rFont val="Arial"/>
        <family val="0"/>
        <charset val="1"/>
      </rPr>
      <t xml:space="preserve">The page loads without error. The header, the title "EC-CUBE4.2 </t>
    </r>
    <r>
      <rPr>
        <sz val="10"/>
        <rFont val="Noto Sans CJK SC"/>
        <family val="2"/>
      </rPr>
      <t xml:space="preserve">デモサイト</t>
    </r>
    <r>
      <rPr>
        <sz val="10"/>
        <rFont val="Arial"/>
        <family val="0"/>
        <charset val="1"/>
      </rPr>
      <t xml:space="preserve">", four category links, and a hero image area are all visible.</t>
    </r>
  </si>
  <si>
    <t xml:space="preserve">Not Available</t>
  </si>
  <si>
    <t xml:space="preserve">No</t>
  </si>
  <si>
    <t xml:space="preserve">EXE-002</t>
  </si>
  <si>
    <t xml:space="preserve">TC-002</t>
  </si>
  <si>
    <t xml:space="preserve">All five controls are visible and correctly labelled.</t>
  </si>
  <si>
    <t xml:space="preserve">EXE-003</t>
  </si>
  <si>
    <t xml:space="preserve">TC-003</t>
  </si>
  <si>
    <r>
      <rPr>
        <sz val="10"/>
        <rFont val="Arial"/>
        <family val="0"/>
        <charset val="1"/>
      </rPr>
      <t xml:space="preserve">Four links are shown: </t>
    </r>
    <r>
      <rPr>
        <sz val="10"/>
        <rFont val="Noto Sans CJK SC"/>
        <family val="2"/>
      </rPr>
      <t xml:space="preserve">新規カテゴリ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新入荷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ジェラート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アイスサンド</t>
    </r>
    <r>
      <rPr>
        <sz val="10"/>
        <rFont val="Arial"/>
        <family val="0"/>
        <charset val="1"/>
      </rPr>
      <t xml:space="preserve">.</t>
    </r>
  </si>
  <si>
    <t xml:space="preserve">EXE-004</t>
  </si>
  <si>
    <t xml:space="preserve">TC-004</t>
  </si>
  <si>
    <r>
      <rPr>
        <sz val="10"/>
        <rFont val="Arial"/>
        <family val="0"/>
        <charset val="1"/>
      </rPr>
      <t xml:space="preserve">The cart badge shows 0 and the total shows </t>
    </r>
    <r>
      <rPr>
        <sz val="10"/>
        <rFont val="Noto Sans CJK SC"/>
        <family val="2"/>
      </rPr>
      <t xml:space="preserve">￥</t>
    </r>
    <r>
      <rPr>
        <sz val="10"/>
        <rFont val="Arial"/>
        <family val="0"/>
        <charset val="1"/>
      </rPr>
      <t xml:space="preserve">0.</t>
    </r>
  </si>
  <si>
    <t xml:space="preserve">EXE-005</t>
  </si>
  <si>
    <t xml:space="preserve">TC-005</t>
  </si>
  <si>
    <r>
      <rPr>
        <sz val="10"/>
        <rFont val="Arial"/>
        <family val="0"/>
        <charset val="1"/>
      </rPr>
      <t xml:space="preserve">A product listing page opens. The breadcrumb shows </t>
    </r>
    <r>
      <rPr>
        <sz val="10"/>
        <rFont val="Noto Sans CJK SC"/>
        <family val="2"/>
      </rPr>
      <t xml:space="preserve">全て </t>
    </r>
    <r>
      <rPr>
        <sz val="10"/>
        <rFont val="Arial"/>
        <family val="0"/>
        <charset val="1"/>
      </rPr>
      <t xml:space="preserve">| </t>
    </r>
    <r>
      <rPr>
        <sz val="10"/>
        <rFont val="Noto Sans CJK SC"/>
        <family val="2"/>
      </rPr>
      <t xml:space="preserve">ジェラート </t>
    </r>
    <r>
      <rPr>
        <sz val="10"/>
        <rFont val="Arial"/>
        <family val="0"/>
        <charset val="1"/>
      </rPr>
      <t xml:space="preserve">and a result count in the form </t>
    </r>
    <r>
      <rPr>
        <sz val="10"/>
        <rFont val="Noto Sans CJK SC"/>
        <family val="2"/>
      </rPr>
      <t xml:space="preserve">〇件の商品が見つかりました </t>
    </r>
    <r>
      <rPr>
        <sz val="10"/>
        <rFont val="Arial"/>
        <family val="0"/>
        <charset val="1"/>
      </rPr>
      <t xml:space="preserve">is displayed.</t>
    </r>
  </si>
  <si>
    <t xml:space="preserve">EXE-006</t>
  </si>
  <si>
    <t xml:space="preserve">TC-006</t>
  </si>
  <si>
    <t xml:space="preserve">Each link opens a listing page without an error. Each page displays a result count. Counts may differ between categories.</t>
  </si>
  <si>
    <t xml:space="preserve">EXE-007</t>
  </si>
  <si>
    <t xml:space="preserve">TC-007</t>
  </si>
  <si>
    <t xml:space="preserve">Three indicator dots are shown and exactly one is highlighted as active.</t>
  </si>
  <si>
    <t xml:space="preserve">EXE-008</t>
  </si>
  <si>
    <t xml:space="preserve">TC-008</t>
  </si>
  <si>
    <t xml:space="preserve">Product</t>
  </si>
  <si>
    <t xml:space="preserve">The stated count equals the number of product tiles displayed.</t>
  </si>
  <si>
    <t xml:space="preserve">EXE-009</t>
  </si>
  <si>
    <t xml:space="preserve">TC-009</t>
  </si>
  <si>
    <r>
      <rPr>
        <sz val="10"/>
        <rFont val="Arial"/>
        <family val="0"/>
        <charset val="1"/>
      </rPr>
      <t xml:space="preserve">Two dropdowns are visible. Observed defaults were 20</t>
    </r>
    <r>
      <rPr>
        <sz val="10"/>
        <rFont val="Noto Sans CJK SC"/>
        <family val="2"/>
      </rPr>
      <t xml:space="preserve">件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価格が低い順</t>
    </r>
    <r>
      <rPr>
        <sz val="10"/>
        <rFont val="Arial"/>
        <family val="0"/>
        <charset val="1"/>
      </rPr>
      <t xml:space="preserve">.</t>
    </r>
  </si>
  <si>
    <t xml:space="preserve">EXE-010</t>
  </si>
  <si>
    <t xml:space="preserve">TC-010</t>
  </si>
  <si>
    <t xml:space="preserve">The product order changes in a way consistent with the selected sort value.</t>
  </si>
  <si>
    <t xml:space="preserve">EXE-011</t>
  </si>
  <si>
    <t xml:space="preserve">TC-011</t>
  </si>
  <si>
    <t xml:space="preserve">The product name is displayed as the page heading and matches the name shown on the listing.</t>
  </si>
  <si>
    <t xml:space="preserve">EXE-012</t>
  </si>
  <si>
    <t xml:space="preserve">TC-012</t>
  </si>
  <si>
    <t xml:space="preserve">A main image renders without a broken image placeholder. At least one thumbnail is shown below it.</t>
  </si>
  <si>
    <t xml:space="preserve">EXE-013</t>
  </si>
  <si>
    <t xml:space="preserve">TC-013</t>
  </si>
  <si>
    <r>
      <rPr>
        <sz val="10"/>
        <rFont val="Arial"/>
        <family val="0"/>
        <charset val="1"/>
      </rPr>
      <t xml:space="preserve">The price is shown in yen with a </t>
    </r>
    <r>
      <rPr>
        <sz val="10"/>
        <rFont val="Noto Sans CJK SC"/>
        <family val="2"/>
      </rPr>
      <t xml:space="preserve">税込 </t>
    </r>
    <r>
      <rPr>
        <sz val="10"/>
        <rFont val="Arial"/>
        <family val="0"/>
        <charset val="1"/>
      </rPr>
      <t xml:space="preserve">label.</t>
    </r>
  </si>
  <si>
    <t xml:space="preserve">EXE-014</t>
  </si>
  <si>
    <t xml:space="preserve">TC-014</t>
  </si>
  <si>
    <t xml:space="preserve">Description text is present, readable, and not truncated mid-word or showing placeholder text.</t>
  </si>
  <si>
    <t xml:space="preserve">EXE-015</t>
  </si>
  <si>
    <t xml:space="preserve">TC-015</t>
  </si>
  <si>
    <t xml:space="preserve">The related category is displayed as a link.</t>
  </si>
  <si>
    <t xml:space="preserve">EXE-016</t>
  </si>
  <si>
    <t xml:space="preserve">TC-016</t>
  </si>
  <si>
    <t xml:space="preserve">A listing page for that category opens and includes the originating product.</t>
  </si>
  <si>
    <t xml:space="preserve">EXE-017</t>
  </si>
  <si>
    <t xml:space="preserve">TC-017</t>
  </si>
  <si>
    <t xml:space="preserve">Two option selectors are shown and the price is displayed as a range rather than a single value.</t>
  </si>
  <si>
    <t xml:space="preserve">EXE-018</t>
  </si>
  <si>
    <t xml:space="preserve">TC-018</t>
  </si>
  <si>
    <t xml:space="preserve">Cart</t>
  </si>
  <si>
    <r>
      <rPr>
        <sz val="10"/>
        <rFont val="Arial"/>
        <family val="0"/>
        <charset val="1"/>
      </rPr>
      <t xml:space="preserve">A confirmation message reading </t>
    </r>
    <r>
      <rPr>
        <sz val="10"/>
        <rFont val="Noto Sans CJK SC"/>
        <family val="2"/>
      </rPr>
      <t xml:space="preserve">カートに追加しました。 </t>
    </r>
    <r>
      <rPr>
        <sz val="10"/>
        <rFont val="Arial"/>
        <family val="0"/>
        <charset val="1"/>
      </rPr>
      <t xml:space="preserve">appears with options to continue shopping or go to the cart.</t>
    </r>
  </si>
  <si>
    <t xml:space="preserve">EXE-019</t>
  </si>
  <si>
    <t xml:space="preserve">TC-019</t>
  </si>
  <si>
    <t xml:space="preserve">The count increases by one and the total increases by exactly the product price.</t>
  </si>
  <si>
    <t xml:space="preserve">EXE-020</t>
  </si>
  <si>
    <t xml:space="preserve">TC-020</t>
  </si>
  <si>
    <t xml:space="preserve">The product is added and the header cart count increases by one, without needing to open the detail page.</t>
  </si>
  <si>
    <t xml:space="preserve">EXE-021</t>
  </si>
  <si>
    <t xml:space="preserve">TC-021</t>
  </si>
  <si>
    <t xml:space="preserve">The product is not added. A message indicates that options must be selected. The header cart count does not change.</t>
  </si>
  <si>
    <t xml:space="preserve">EXE-022</t>
  </si>
  <si>
    <t xml:space="preserve">TC-022</t>
  </si>
  <si>
    <r>
      <rPr>
        <sz val="10"/>
        <rFont val="Arial"/>
        <family val="0"/>
        <charset val="1"/>
      </rPr>
      <t xml:space="preserve">The table shows columns </t>
    </r>
    <r>
      <rPr>
        <sz val="10"/>
        <rFont val="Noto Sans CJK SC"/>
        <family val="2"/>
      </rPr>
      <t xml:space="preserve">削除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商品内容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数量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小計</t>
    </r>
    <r>
      <rPr>
        <sz val="10"/>
        <rFont val="Arial"/>
        <family val="0"/>
        <charset val="1"/>
      </rPr>
      <t xml:space="preserve">. The item row displays the correct name, unit price, quantity, and subtotal.</t>
    </r>
  </si>
  <si>
    <t xml:space="preserve">EXE-023</t>
  </si>
  <si>
    <t xml:space="preserve">TC-023</t>
  </si>
  <si>
    <r>
      <rPr>
        <sz val="10"/>
        <rFont val="Arial"/>
        <family val="0"/>
        <charset val="1"/>
      </rPr>
      <t xml:space="preserve">Five steps are shown: </t>
    </r>
    <r>
      <rPr>
        <sz val="10"/>
        <rFont val="Noto Sans CJK SC"/>
        <family val="2"/>
      </rPr>
      <t xml:space="preserve">カートの商品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お客様情報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ご注文手続き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ご注文内容確認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完了</t>
    </r>
    <r>
      <rPr>
        <sz val="10"/>
        <rFont val="Arial"/>
        <family val="0"/>
        <charset val="1"/>
      </rPr>
      <t xml:space="preserve">. Step 1 is highlighted as the current step.</t>
    </r>
  </si>
  <si>
    <t xml:space="preserve">EXE-024</t>
  </si>
  <si>
    <t xml:space="preserve">TC-024</t>
  </si>
  <si>
    <t xml:space="preserve">The quantity increases from 1 to 2.</t>
  </si>
  <si>
    <t xml:space="preserve">EXE-025</t>
  </si>
  <si>
    <t xml:space="preserve">TC-025</t>
  </si>
  <si>
    <t xml:space="preserve">The quantity decreases from 2 to 1.</t>
  </si>
  <si>
    <t xml:space="preserve">EXE-026</t>
  </si>
  <si>
    <t xml:space="preserve">TC-026</t>
  </si>
  <si>
    <t xml:space="preserve">The displayed subtotal equals the manually calculated value.</t>
  </si>
  <si>
    <t xml:space="preserve">EXE-027</t>
  </si>
  <si>
    <t xml:space="preserve">TC-027</t>
  </si>
  <si>
    <t xml:space="preserve">Both figures show the same amount.</t>
  </si>
  <si>
    <t xml:space="preserve">EXE-028</t>
  </si>
  <si>
    <t xml:space="preserve">TC-028</t>
  </si>
  <si>
    <t xml:space="preserve">The cart shows two separate rows, one for each product, each with its own price and quantity.</t>
  </si>
  <si>
    <t xml:space="preserve">EXE-029</t>
  </si>
  <si>
    <t xml:space="preserve">TC-029</t>
  </si>
  <si>
    <t xml:space="preserve">The displayed total equals the manually calculated sum of the line subtotals.</t>
  </si>
  <si>
    <t xml:space="preserve">EXE-030</t>
  </si>
  <si>
    <t xml:space="preserve">TC-030</t>
  </si>
  <si>
    <t xml:space="preserve">The cart line displays the same option values that were selected.</t>
  </si>
  <si>
    <t xml:space="preserve">EXE-031</t>
  </si>
  <si>
    <t xml:space="preserve">TC-031</t>
  </si>
  <si>
    <t xml:space="preserve">The unit price in the cart matches the price shown after the options were selected, and falls within the advertised range.</t>
  </si>
  <si>
    <t xml:space="preserve">EXE-032</t>
  </si>
  <si>
    <t xml:space="preserve">TC-032</t>
  </si>
  <si>
    <t xml:space="preserve">The cart count and total remain unchanged on every page, and the cart page still lists the same items.</t>
  </si>
  <si>
    <t xml:space="preserve">EXE-033</t>
  </si>
  <si>
    <t xml:space="preserve">TC-033</t>
  </si>
  <si>
    <t xml:space="preserve">The same items, quantities, and totals are shown after reload.</t>
  </si>
  <si>
    <t xml:space="preserve">EXE-034</t>
  </si>
  <si>
    <t xml:space="preserve">TC-034</t>
  </si>
  <si>
    <t xml:space="preserve">Registration</t>
  </si>
  <si>
    <r>
      <rPr>
        <sz val="10"/>
        <rFont val="Arial"/>
        <family val="0"/>
        <charset val="1"/>
      </rPr>
      <t xml:space="preserve">The form shows </t>
    </r>
    <r>
      <rPr>
        <sz val="10"/>
        <rFont val="Noto Sans CJK SC"/>
        <family val="2"/>
      </rPr>
      <t xml:space="preserve">お名前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お名前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カナ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会社名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住所 </t>
    </r>
    <r>
      <rPr>
        <sz val="10"/>
        <rFont val="Arial"/>
        <family val="0"/>
        <charset val="1"/>
      </rPr>
      <t xml:space="preserve">with postal code and prefecture controls, </t>
    </r>
    <r>
      <rPr>
        <sz val="10"/>
        <rFont val="Noto Sans CJK SC"/>
        <family val="2"/>
      </rPr>
      <t xml:space="preserve">電話番号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メールアドレス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パスワード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生年月日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性別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職業</t>
    </r>
    <r>
      <rPr>
        <sz val="10"/>
        <rFont val="Arial"/>
        <family val="0"/>
        <charset val="1"/>
      </rPr>
      <t xml:space="preserve">, and </t>
    </r>
    <r>
      <rPr>
        <sz val="10"/>
        <rFont val="Noto Sans CJK SC"/>
        <family val="2"/>
      </rPr>
      <t xml:space="preserve">メールマガジン送付について</t>
    </r>
    <r>
      <rPr>
        <sz val="10"/>
        <rFont val="Arial"/>
        <family val="0"/>
        <charset val="1"/>
      </rPr>
      <t xml:space="preserve">. Required fields carry a </t>
    </r>
    <r>
      <rPr>
        <sz val="10"/>
        <rFont val="Noto Sans CJK SC"/>
        <family val="2"/>
      </rPr>
      <t xml:space="preserve">必須 </t>
    </r>
    <r>
      <rPr>
        <sz val="10"/>
        <rFont val="Arial"/>
        <family val="0"/>
        <charset val="1"/>
      </rPr>
      <t xml:space="preserve">marker.</t>
    </r>
  </si>
  <si>
    <t xml:space="preserve">EXE-035</t>
  </si>
  <si>
    <t xml:space="preserve">TC-035</t>
  </si>
  <si>
    <r>
      <rPr>
        <sz val="10"/>
        <rFont val="Arial"/>
        <family val="0"/>
        <charset val="1"/>
      </rPr>
      <t xml:space="preserve">The form is not submitted. Each required field is highlighted and displays </t>
    </r>
    <r>
      <rPr>
        <sz val="10"/>
        <rFont val="Noto Sans CJK SC"/>
        <family val="2"/>
      </rPr>
      <t xml:space="preserve">入力されていません。 </t>
    </r>
    <r>
      <rPr>
        <sz val="10"/>
        <rFont val="Arial"/>
        <family val="0"/>
        <charset val="1"/>
      </rPr>
      <t xml:space="preserve">The user remains on the registration page.</t>
    </r>
  </si>
  <si>
    <t xml:space="preserve">EXE-036</t>
  </si>
  <si>
    <t xml:space="preserve">TC-036</t>
  </si>
  <si>
    <r>
      <rPr>
        <sz val="10"/>
        <rFont val="Arial"/>
        <family val="0"/>
        <charset val="1"/>
      </rPr>
      <t xml:space="preserve">Fields without a </t>
    </r>
    <r>
      <rPr>
        <sz val="10"/>
        <rFont val="Noto Sans CJK SC"/>
        <family val="2"/>
      </rPr>
      <t xml:space="preserve">必須 </t>
    </r>
    <r>
      <rPr>
        <sz val="10"/>
        <rFont val="Arial"/>
        <family val="0"/>
        <charset val="1"/>
      </rPr>
      <t xml:space="preserve">marker show no validation error.</t>
    </r>
  </si>
  <si>
    <t xml:space="preserve">EXE-037</t>
  </si>
  <si>
    <t xml:space="preserve">TC-037</t>
  </si>
  <si>
    <t xml:space="preserve">A validation message appears indicating the katakana fields require katakana characters. The form is not submitted.</t>
  </si>
  <si>
    <t xml:space="preserve">EXE-038</t>
  </si>
  <si>
    <t xml:space="preserve">TC-038</t>
  </si>
  <si>
    <t xml:space="preserve">An external postal code search page opens in a new browser tab, and the registration page remains open in the original tab.</t>
  </si>
  <si>
    <t xml:space="preserve">EXE-039</t>
  </si>
  <si>
    <t xml:space="preserve">TC-039</t>
  </si>
  <si>
    <t xml:space="preserve">Account</t>
  </si>
  <si>
    <t xml:space="preserve">All four elements render on the login page.</t>
  </si>
  <si>
    <t xml:space="preserve">EXE-040</t>
  </si>
  <si>
    <t xml:space="preserve">TC-040</t>
  </si>
  <si>
    <t xml:space="preserve">System</t>
  </si>
  <si>
    <r>
      <rPr>
        <sz val="10"/>
        <rFont val="Arial"/>
        <family val="0"/>
        <charset val="1"/>
      </rPr>
      <t xml:space="preserve">A page displays </t>
    </r>
    <r>
      <rPr>
        <sz val="10"/>
        <rFont val="Noto Sans CJK SC"/>
        <family val="2"/>
      </rPr>
      <t xml:space="preserve">ページがみつかりません。 </t>
    </r>
    <r>
      <rPr>
        <sz val="10"/>
        <rFont val="Arial"/>
        <family val="0"/>
        <charset val="1"/>
      </rPr>
      <t xml:space="preserve">with the guidance URL</t>
    </r>
    <r>
      <rPr>
        <sz val="10"/>
        <rFont val="Noto Sans CJK SC"/>
        <family val="2"/>
      </rPr>
      <t xml:space="preserve">に間違いがないかご確認ください。 </t>
    </r>
    <r>
      <rPr>
        <sz val="10"/>
        <rFont val="Arial"/>
        <family val="0"/>
        <charset val="1"/>
      </rPr>
      <t xml:space="preserve">and a </t>
    </r>
    <r>
      <rPr>
        <sz val="10"/>
        <rFont val="Noto Sans CJK SC"/>
        <family val="2"/>
      </rPr>
      <t xml:space="preserve">トップページへ </t>
    </r>
    <r>
      <rPr>
        <sz val="10"/>
        <rFont val="Arial"/>
        <family val="0"/>
        <charset val="1"/>
      </rPr>
      <t xml:space="preserve">button that returns to the home page.</t>
    </r>
  </si>
  <si>
    <t xml:space="preserve">Bug ID</t>
  </si>
  <si>
    <t xml:space="preserve">Title</t>
  </si>
  <si>
    <t xml:space="preserve">Environment</t>
  </si>
  <si>
    <t xml:space="preserve">Preconditions</t>
  </si>
  <si>
    <t xml:space="preserve">Steps to Reproduce</t>
  </si>
  <si>
    <t xml:space="preserve">Test Data</t>
  </si>
  <si>
    <t xml:space="preserve">Reproducibility</t>
  </si>
  <si>
    <t xml:space="preserve">Severity</t>
  </si>
  <si>
    <t xml:space="preserve">Priority</t>
  </si>
  <si>
    <t xml:space="preserve">Evidence</t>
  </si>
  <si>
    <t xml:space="preserve">Related Test Case</t>
  </si>
  <si>
    <t xml:space="preserve">Reported Date</t>
  </si>
  <si>
    <t xml:space="preserve">Retest Result</t>
  </si>
  <si>
    <t xml:space="preserve">Empty by design. Add a row only after a defect has been reproduced at least twice.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</si>
</sst>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i val="true"/>
      <sz val="10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7F4F00"/>
        <sz val="10"/>
      </font>
      <fill>
        <patternFill>
          <bgColor rgb="FFFFD9A0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color rgb="FF1F4E79"/>
        <sz val="10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8" customFormat="false" ht="15" hidden="false" customHeight="true" outlineLevel="0" collapsed="false">
      <c r="A8" s="6" t="s">
        <v>8</v>
      </c>
      <c r="B8" s="6" t="s">
        <v>9</v>
      </c>
    </row>
    <row r="9" customFormat="false" ht="15" hidden="false" customHeight="true" outlineLevel="0" collapsed="false">
      <c r="A9" s="7" t="s">
        <v>10</v>
      </c>
      <c r="B9" s="7" t="n">
        <f aca="false">COUNTA('Execution Data'!A2:A41)</f>
        <v>40</v>
      </c>
    </row>
    <row r="10" customFormat="false" ht="15" hidden="false" customHeight="true" outlineLevel="0" collapsed="false">
      <c r="A10" s="7" t="s">
        <v>11</v>
      </c>
      <c r="B10" s="7" t="n">
        <f aca="false">COUNTIF('Execution Data'!K2:K41,"Passed")</f>
        <v>0</v>
      </c>
    </row>
    <row r="11" customFormat="false" ht="15" hidden="false" customHeight="true" outlineLevel="0" collapsed="false">
      <c r="A11" s="7" t="s">
        <v>12</v>
      </c>
      <c r="B11" s="7" t="n">
        <f aca="false">COUNTIF('Execution Data'!K2:K41,"Failed")</f>
        <v>0</v>
      </c>
    </row>
    <row r="12" customFormat="false" ht="15" hidden="false" customHeight="true" outlineLevel="0" collapsed="false">
      <c r="A12" s="7" t="s">
        <v>13</v>
      </c>
      <c r="B12" s="7" t="n">
        <f aca="false">COUNTIF('Execution Data'!K2:K41,"Blocked")</f>
        <v>0</v>
      </c>
    </row>
    <row r="13" customFormat="false" ht="15" hidden="false" customHeight="true" outlineLevel="0" collapsed="false">
      <c r="A13" s="7" t="s">
        <v>14</v>
      </c>
      <c r="B13" s="7" t="n">
        <f aca="false">COUNTIF('Execution Data'!K2:K41,"Not Executed")</f>
        <v>40</v>
      </c>
    </row>
    <row r="14" customFormat="false" ht="15" hidden="false" customHeight="true" outlineLevel="0" collapsed="false">
      <c r="A14" s="7" t="s">
        <v>15</v>
      </c>
      <c r="B14" s="7" t="n">
        <f aca="false">COUNTIF('Execution Data'!K2:K41,"Not Applicable")</f>
        <v>0</v>
      </c>
    </row>
    <row r="15" customFormat="false" ht="15" hidden="false" customHeight="true" outlineLevel="0" collapsed="false">
      <c r="A15" s="7" t="s">
        <v>16</v>
      </c>
      <c r="B15" s="7" t="n">
        <f aca="false">B10+B11+B12</f>
        <v>0</v>
      </c>
    </row>
    <row r="16" customFormat="false" ht="15" hidden="false" customHeight="true" outlineLevel="0" collapsed="false">
      <c r="A16" s="7" t="s">
        <v>17</v>
      </c>
      <c r="B16" s="8" t="n">
        <f aca="false">IFERROR(B10/B15,0)</f>
        <v>0</v>
      </c>
    </row>
    <row r="17" customFormat="false" ht="15" hidden="false" customHeight="true" outlineLevel="0" collapsed="false">
      <c r="A17" s="7" t="s">
        <v>18</v>
      </c>
      <c r="B17" s="7" t="n">
        <f aca="false">COUNTIF('Defect Data'!A2:A200,"BUG-*")</f>
        <v>0</v>
      </c>
    </row>
    <row r="18" customFormat="false" ht="15" hidden="false" customHeight="true" outlineLevel="0" collapsed="false">
      <c r="A18" s="7" t="s">
        <v>19</v>
      </c>
      <c r="B18" s="7" t="n">
        <f aca="false">COUNTIF('Defect Data'!K2:K200,"Critical")</f>
        <v>0</v>
      </c>
    </row>
    <row r="19" customFormat="false" ht="15" hidden="false" customHeight="true" outlineLevel="0" collapsed="false">
      <c r="A19" s="7" t="s">
        <v>20</v>
      </c>
      <c r="B19" s="7" t="n">
        <f aca="false">COUNTIF('Defect Data'!K2:K200,"High")</f>
        <v>0</v>
      </c>
    </row>
    <row r="20" customFormat="false" ht="15" hidden="false" customHeight="true" outlineLevel="0" collapsed="false">
      <c r="A20" s="7" t="s">
        <v>21</v>
      </c>
      <c r="B20" s="7" t="n">
        <f aca="false">COUNTIF('Defect Data'!K2:K200,"Medium")</f>
        <v>0</v>
      </c>
    </row>
    <row r="21" customFormat="false" ht="15" hidden="false" customHeight="true" outlineLevel="0" collapsed="false">
      <c r="A21" s="7" t="s">
        <v>22</v>
      </c>
      <c r="B21" s="7" t="n">
        <f aca="false">COUNTIF('Defect Data'!K2:K200,"Low")</f>
        <v>0</v>
      </c>
    </row>
    <row r="22" customFormat="false" ht="15" hidden="false" customHeight="true" outlineLevel="0" collapsed="false">
      <c r="A22" s="7" t="s">
        <v>23</v>
      </c>
      <c r="B22" s="7" t="n">
        <f aca="false">COUNTIFS('Defect Data'!M2:M200,"&lt;&gt;Done")-COUNTBLANK('Defect Data'!M2:M200)</f>
        <v>0</v>
      </c>
    </row>
    <row r="23" customFormat="false" ht="15" hidden="false" customHeight="true" outlineLevel="0" collapsed="false">
      <c r="A23" s="7" t="s">
        <v>24</v>
      </c>
      <c r="B23" s="7" t="n">
        <f aca="false">COUNTIF('Defect Data'!M2:M200,"Done")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7" min="6" style="1" width="16"/>
    <col collapsed="false" customWidth="true" hidden="false" outlineLevel="0" max="8" min="8" style="1" width="15"/>
    <col collapsed="false" customWidth="true" hidden="false" outlineLevel="0" max="9" min="9" style="1" width="46"/>
    <col collapsed="false" customWidth="true" hidden="false" outlineLevel="0" max="10" min="10" style="1" width="40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1"/>
    <col collapsed="false" customWidth="true" hidden="false" outlineLevel="0" max="14" min="14" style="1" width="15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</row>
    <row r="2" customFormat="false" ht="37.5" hidden="false" customHeight="true" outlineLevel="0" collapsed="false">
      <c r="A2" s="10" t="s">
        <v>40</v>
      </c>
      <c r="B2" s="10" t="s">
        <v>41</v>
      </c>
      <c r="C2" s="10" t="s">
        <v>42</v>
      </c>
      <c r="D2" s="10"/>
      <c r="E2" s="10" t="s">
        <v>43</v>
      </c>
      <c r="F2" s="10" t="s">
        <v>44</v>
      </c>
      <c r="G2" s="10" t="s">
        <v>45</v>
      </c>
      <c r="H2" s="10"/>
      <c r="I2" s="11" t="s">
        <v>46</v>
      </c>
      <c r="J2" s="11" t="s">
        <v>14</v>
      </c>
      <c r="K2" s="10" t="s">
        <v>14</v>
      </c>
      <c r="L2" s="10" t="s">
        <v>47</v>
      </c>
      <c r="M2" s="10"/>
      <c r="N2" s="10" t="s">
        <v>48</v>
      </c>
      <c r="O2" s="11"/>
    </row>
    <row r="3" customFormat="false" ht="15" hidden="false" customHeight="true" outlineLevel="0" collapsed="false">
      <c r="A3" s="10" t="s">
        <v>49</v>
      </c>
      <c r="B3" s="10" t="s">
        <v>50</v>
      </c>
      <c r="C3" s="10" t="s">
        <v>42</v>
      </c>
      <c r="D3" s="10"/>
      <c r="E3" s="10" t="s">
        <v>43</v>
      </c>
      <c r="F3" s="10" t="s">
        <v>44</v>
      </c>
      <c r="G3" s="10" t="s">
        <v>45</v>
      </c>
      <c r="H3" s="10"/>
      <c r="I3" s="11" t="s">
        <v>51</v>
      </c>
      <c r="J3" s="11" t="s">
        <v>14</v>
      </c>
      <c r="K3" s="10" t="s">
        <v>14</v>
      </c>
      <c r="L3" s="10" t="s">
        <v>47</v>
      </c>
      <c r="M3" s="10"/>
      <c r="N3" s="10" t="s">
        <v>48</v>
      </c>
      <c r="O3" s="11"/>
    </row>
    <row r="4" customFormat="false" ht="29.25" hidden="false" customHeight="true" outlineLevel="0" collapsed="false">
      <c r="A4" s="10" t="s">
        <v>52</v>
      </c>
      <c r="B4" s="10" t="s">
        <v>53</v>
      </c>
      <c r="C4" s="10" t="s">
        <v>42</v>
      </c>
      <c r="D4" s="10"/>
      <c r="E4" s="10" t="s">
        <v>43</v>
      </c>
      <c r="F4" s="10" t="s">
        <v>44</v>
      </c>
      <c r="G4" s="10" t="s">
        <v>45</v>
      </c>
      <c r="H4" s="10"/>
      <c r="I4" s="11" t="s">
        <v>54</v>
      </c>
      <c r="J4" s="11" t="s">
        <v>14</v>
      </c>
      <c r="K4" s="10" t="s">
        <v>14</v>
      </c>
      <c r="L4" s="10" t="s">
        <v>47</v>
      </c>
      <c r="M4" s="10"/>
      <c r="N4" s="10" t="s">
        <v>48</v>
      </c>
      <c r="O4" s="11"/>
    </row>
    <row r="5" customFormat="false" ht="15" hidden="false" customHeight="true" outlineLevel="0" collapsed="false">
      <c r="A5" s="10" t="s">
        <v>55</v>
      </c>
      <c r="B5" s="10" t="s">
        <v>56</v>
      </c>
      <c r="C5" s="10" t="s">
        <v>42</v>
      </c>
      <c r="D5" s="10"/>
      <c r="E5" s="10" t="s">
        <v>43</v>
      </c>
      <c r="F5" s="10" t="s">
        <v>44</v>
      </c>
      <c r="G5" s="10" t="s">
        <v>45</v>
      </c>
      <c r="H5" s="10"/>
      <c r="I5" s="11" t="s">
        <v>57</v>
      </c>
      <c r="J5" s="11" t="s">
        <v>14</v>
      </c>
      <c r="K5" s="10" t="s">
        <v>14</v>
      </c>
      <c r="L5" s="10" t="s">
        <v>47</v>
      </c>
      <c r="M5" s="10"/>
      <c r="N5" s="10" t="s">
        <v>48</v>
      </c>
      <c r="O5" s="11"/>
    </row>
    <row r="6" customFormat="false" ht="43.5" hidden="false" customHeight="true" outlineLevel="0" collapsed="false">
      <c r="A6" s="10" t="s">
        <v>58</v>
      </c>
      <c r="B6" s="10" t="s">
        <v>59</v>
      </c>
      <c r="C6" s="10" t="s">
        <v>42</v>
      </c>
      <c r="D6" s="10"/>
      <c r="E6" s="10" t="s">
        <v>43</v>
      </c>
      <c r="F6" s="10" t="s">
        <v>44</v>
      </c>
      <c r="G6" s="10" t="s">
        <v>45</v>
      </c>
      <c r="H6" s="10"/>
      <c r="I6" s="11" t="s">
        <v>60</v>
      </c>
      <c r="J6" s="11" t="s">
        <v>14</v>
      </c>
      <c r="K6" s="10" t="s">
        <v>14</v>
      </c>
      <c r="L6" s="10" t="s">
        <v>47</v>
      </c>
      <c r="M6" s="10"/>
      <c r="N6" s="10" t="s">
        <v>48</v>
      </c>
      <c r="O6" s="11"/>
    </row>
    <row r="7" customFormat="false" ht="34.5" hidden="false" customHeight="true" outlineLevel="0" collapsed="false">
      <c r="A7" s="10" t="s">
        <v>61</v>
      </c>
      <c r="B7" s="10" t="s">
        <v>62</v>
      </c>
      <c r="C7" s="10" t="s">
        <v>42</v>
      </c>
      <c r="D7" s="10"/>
      <c r="E7" s="10" t="s">
        <v>43</v>
      </c>
      <c r="F7" s="10" t="s">
        <v>44</v>
      </c>
      <c r="G7" s="10" t="s">
        <v>45</v>
      </c>
      <c r="H7" s="10"/>
      <c r="I7" s="11" t="s">
        <v>63</v>
      </c>
      <c r="J7" s="11" t="s">
        <v>14</v>
      </c>
      <c r="K7" s="10" t="s">
        <v>14</v>
      </c>
      <c r="L7" s="10" t="s">
        <v>47</v>
      </c>
      <c r="M7" s="10"/>
      <c r="N7" s="10" t="s">
        <v>48</v>
      </c>
      <c r="O7" s="11"/>
    </row>
    <row r="8" customFormat="false" ht="23.25" hidden="false" customHeight="true" outlineLevel="0" collapsed="false">
      <c r="A8" s="10" t="s">
        <v>64</v>
      </c>
      <c r="B8" s="10" t="s">
        <v>65</v>
      </c>
      <c r="C8" s="10" t="s">
        <v>42</v>
      </c>
      <c r="D8" s="10"/>
      <c r="E8" s="10" t="s">
        <v>43</v>
      </c>
      <c r="F8" s="10" t="s">
        <v>44</v>
      </c>
      <c r="G8" s="10" t="s">
        <v>45</v>
      </c>
      <c r="H8" s="10"/>
      <c r="I8" s="11" t="s">
        <v>66</v>
      </c>
      <c r="J8" s="11" t="s">
        <v>14</v>
      </c>
      <c r="K8" s="10" t="s">
        <v>14</v>
      </c>
      <c r="L8" s="10" t="s">
        <v>47</v>
      </c>
      <c r="M8" s="10"/>
      <c r="N8" s="10" t="s">
        <v>48</v>
      </c>
      <c r="O8" s="11"/>
    </row>
    <row r="9" customFormat="false" ht="23.25" hidden="false" customHeight="true" outlineLevel="0" collapsed="false">
      <c r="A9" s="10" t="s">
        <v>67</v>
      </c>
      <c r="B9" s="10" t="s">
        <v>68</v>
      </c>
      <c r="C9" s="10" t="s">
        <v>69</v>
      </c>
      <c r="D9" s="10"/>
      <c r="E9" s="10" t="s">
        <v>43</v>
      </c>
      <c r="F9" s="10" t="s">
        <v>44</v>
      </c>
      <c r="G9" s="10" t="s">
        <v>45</v>
      </c>
      <c r="H9" s="10"/>
      <c r="I9" s="11" t="s">
        <v>70</v>
      </c>
      <c r="J9" s="11" t="s">
        <v>14</v>
      </c>
      <c r="K9" s="10" t="s">
        <v>14</v>
      </c>
      <c r="L9" s="10" t="s">
        <v>47</v>
      </c>
      <c r="M9" s="10"/>
      <c r="N9" s="10" t="s">
        <v>48</v>
      </c>
      <c r="O9" s="11"/>
    </row>
    <row r="10" customFormat="false" ht="26.25" hidden="false" customHeight="true" outlineLevel="0" collapsed="false">
      <c r="A10" s="10" t="s">
        <v>71</v>
      </c>
      <c r="B10" s="10" t="s">
        <v>72</v>
      </c>
      <c r="C10" s="10" t="s">
        <v>69</v>
      </c>
      <c r="D10" s="10"/>
      <c r="E10" s="10" t="s">
        <v>43</v>
      </c>
      <c r="F10" s="10" t="s">
        <v>44</v>
      </c>
      <c r="G10" s="10" t="s">
        <v>45</v>
      </c>
      <c r="H10" s="10"/>
      <c r="I10" s="11" t="s">
        <v>73</v>
      </c>
      <c r="J10" s="11" t="s">
        <v>14</v>
      </c>
      <c r="K10" s="10" t="s">
        <v>14</v>
      </c>
      <c r="L10" s="10" t="s">
        <v>47</v>
      </c>
      <c r="M10" s="10"/>
      <c r="N10" s="10" t="s">
        <v>48</v>
      </c>
      <c r="O10" s="11"/>
    </row>
    <row r="11" customFormat="false" ht="23.25" hidden="false" customHeight="true" outlineLevel="0" collapsed="false">
      <c r="A11" s="10" t="s">
        <v>74</v>
      </c>
      <c r="B11" s="10" t="s">
        <v>75</v>
      </c>
      <c r="C11" s="10" t="s">
        <v>69</v>
      </c>
      <c r="D11" s="10"/>
      <c r="E11" s="10" t="s">
        <v>43</v>
      </c>
      <c r="F11" s="10" t="s">
        <v>44</v>
      </c>
      <c r="G11" s="10" t="s">
        <v>45</v>
      </c>
      <c r="H11" s="10"/>
      <c r="I11" s="11" t="s">
        <v>76</v>
      </c>
      <c r="J11" s="11" t="s">
        <v>14</v>
      </c>
      <c r="K11" s="10" t="s">
        <v>14</v>
      </c>
      <c r="L11" s="10" t="s">
        <v>47</v>
      </c>
      <c r="M11" s="10"/>
      <c r="N11" s="10" t="s">
        <v>48</v>
      </c>
      <c r="O11" s="11"/>
    </row>
    <row r="12" customFormat="false" ht="23.25" hidden="false" customHeight="true" outlineLevel="0" collapsed="false">
      <c r="A12" s="10" t="s">
        <v>77</v>
      </c>
      <c r="B12" s="10" t="s">
        <v>78</v>
      </c>
      <c r="C12" s="10" t="s">
        <v>69</v>
      </c>
      <c r="D12" s="10"/>
      <c r="E12" s="10" t="s">
        <v>43</v>
      </c>
      <c r="F12" s="10" t="s">
        <v>44</v>
      </c>
      <c r="G12" s="10" t="s">
        <v>45</v>
      </c>
      <c r="H12" s="10"/>
      <c r="I12" s="11" t="s">
        <v>79</v>
      </c>
      <c r="J12" s="11" t="s">
        <v>14</v>
      </c>
      <c r="K12" s="10" t="s">
        <v>14</v>
      </c>
      <c r="L12" s="10" t="s">
        <v>47</v>
      </c>
      <c r="M12" s="10"/>
      <c r="N12" s="10" t="s">
        <v>48</v>
      </c>
      <c r="O12" s="11"/>
    </row>
    <row r="13" customFormat="false" ht="23.25" hidden="false" customHeight="true" outlineLevel="0" collapsed="false">
      <c r="A13" s="10" t="s">
        <v>80</v>
      </c>
      <c r="B13" s="10" t="s">
        <v>81</v>
      </c>
      <c r="C13" s="10" t="s">
        <v>69</v>
      </c>
      <c r="D13" s="10"/>
      <c r="E13" s="10" t="s">
        <v>43</v>
      </c>
      <c r="F13" s="10" t="s">
        <v>44</v>
      </c>
      <c r="G13" s="10" t="s">
        <v>45</v>
      </c>
      <c r="H13" s="10"/>
      <c r="I13" s="11" t="s">
        <v>82</v>
      </c>
      <c r="J13" s="11" t="s">
        <v>14</v>
      </c>
      <c r="K13" s="10" t="s">
        <v>14</v>
      </c>
      <c r="L13" s="10" t="s">
        <v>47</v>
      </c>
      <c r="M13" s="10"/>
      <c r="N13" s="10" t="s">
        <v>48</v>
      </c>
      <c r="O13" s="11"/>
    </row>
    <row r="14" customFormat="false" ht="15" hidden="false" customHeight="true" outlineLevel="0" collapsed="false">
      <c r="A14" s="10" t="s">
        <v>83</v>
      </c>
      <c r="B14" s="10" t="s">
        <v>84</v>
      </c>
      <c r="C14" s="10" t="s">
        <v>69</v>
      </c>
      <c r="D14" s="10"/>
      <c r="E14" s="10" t="s">
        <v>43</v>
      </c>
      <c r="F14" s="10" t="s">
        <v>44</v>
      </c>
      <c r="G14" s="10" t="s">
        <v>45</v>
      </c>
      <c r="H14" s="10"/>
      <c r="I14" s="11" t="s">
        <v>85</v>
      </c>
      <c r="J14" s="11" t="s">
        <v>14</v>
      </c>
      <c r="K14" s="10" t="s">
        <v>14</v>
      </c>
      <c r="L14" s="10" t="s">
        <v>47</v>
      </c>
      <c r="M14" s="10"/>
      <c r="N14" s="10" t="s">
        <v>48</v>
      </c>
      <c r="O14" s="11"/>
    </row>
    <row r="15" customFormat="false" ht="23.25" hidden="false" customHeight="true" outlineLevel="0" collapsed="false">
      <c r="A15" s="10" t="s">
        <v>86</v>
      </c>
      <c r="B15" s="10" t="s">
        <v>87</v>
      </c>
      <c r="C15" s="10" t="s">
        <v>69</v>
      </c>
      <c r="D15" s="10"/>
      <c r="E15" s="10" t="s">
        <v>43</v>
      </c>
      <c r="F15" s="10" t="s">
        <v>44</v>
      </c>
      <c r="G15" s="10" t="s">
        <v>45</v>
      </c>
      <c r="H15" s="10"/>
      <c r="I15" s="11" t="s">
        <v>88</v>
      </c>
      <c r="J15" s="11" t="s">
        <v>14</v>
      </c>
      <c r="K15" s="10" t="s">
        <v>14</v>
      </c>
      <c r="L15" s="10" t="s">
        <v>47</v>
      </c>
      <c r="M15" s="10"/>
      <c r="N15" s="10" t="s">
        <v>48</v>
      </c>
      <c r="O15" s="11"/>
    </row>
    <row r="16" customFormat="false" ht="15" hidden="false" customHeight="true" outlineLevel="0" collapsed="false">
      <c r="A16" s="10" t="s">
        <v>89</v>
      </c>
      <c r="B16" s="10" t="s">
        <v>90</v>
      </c>
      <c r="C16" s="10" t="s">
        <v>69</v>
      </c>
      <c r="D16" s="10"/>
      <c r="E16" s="10" t="s">
        <v>43</v>
      </c>
      <c r="F16" s="10" t="s">
        <v>44</v>
      </c>
      <c r="G16" s="10" t="s">
        <v>45</v>
      </c>
      <c r="H16" s="10"/>
      <c r="I16" s="11" t="s">
        <v>91</v>
      </c>
      <c r="J16" s="11" t="s">
        <v>14</v>
      </c>
      <c r="K16" s="10" t="s">
        <v>14</v>
      </c>
      <c r="L16" s="10" t="s">
        <v>47</v>
      </c>
      <c r="M16" s="10"/>
      <c r="N16" s="10" t="s">
        <v>48</v>
      </c>
      <c r="O16" s="11"/>
    </row>
    <row r="17" customFormat="false" ht="23.25" hidden="false" customHeight="true" outlineLevel="0" collapsed="false">
      <c r="A17" s="10" t="s">
        <v>92</v>
      </c>
      <c r="B17" s="10" t="s">
        <v>93</v>
      </c>
      <c r="C17" s="10" t="s">
        <v>69</v>
      </c>
      <c r="D17" s="10"/>
      <c r="E17" s="10" t="s">
        <v>43</v>
      </c>
      <c r="F17" s="10" t="s">
        <v>44</v>
      </c>
      <c r="G17" s="10" t="s">
        <v>45</v>
      </c>
      <c r="H17" s="10"/>
      <c r="I17" s="11" t="s">
        <v>94</v>
      </c>
      <c r="J17" s="11" t="s">
        <v>14</v>
      </c>
      <c r="K17" s="10" t="s">
        <v>14</v>
      </c>
      <c r="L17" s="10" t="s">
        <v>47</v>
      </c>
      <c r="M17" s="10"/>
      <c r="N17" s="10" t="s">
        <v>48</v>
      </c>
      <c r="O17" s="11"/>
    </row>
    <row r="18" customFormat="false" ht="23.25" hidden="false" customHeight="true" outlineLevel="0" collapsed="false">
      <c r="A18" s="10" t="s">
        <v>95</v>
      </c>
      <c r="B18" s="10" t="s">
        <v>96</v>
      </c>
      <c r="C18" s="10" t="s">
        <v>69</v>
      </c>
      <c r="D18" s="10"/>
      <c r="E18" s="10" t="s">
        <v>43</v>
      </c>
      <c r="F18" s="10" t="s">
        <v>44</v>
      </c>
      <c r="G18" s="10" t="s">
        <v>45</v>
      </c>
      <c r="H18" s="10"/>
      <c r="I18" s="11" t="s">
        <v>97</v>
      </c>
      <c r="J18" s="11" t="s">
        <v>14</v>
      </c>
      <c r="K18" s="10" t="s">
        <v>14</v>
      </c>
      <c r="L18" s="10" t="s">
        <v>47</v>
      </c>
      <c r="M18" s="10"/>
      <c r="N18" s="10" t="s">
        <v>48</v>
      </c>
      <c r="O18" s="11"/>
    </row>
    <row r="19" customFormat="false" ht="40.5" hidden="false" customHeight="true" outlineLevel="0" collapsed="false">
      <c r="A19" s="10" t="s">
        <v>98</v>
      </c>
      <c r="B19" s="10" t="s">
        <v>99</v>
      </c>
      <c r="C19" s="10" t="s">
        <v>100</v>
      </c>
      <c r="D19" s="10"/>
      <c r="E19" s="10" t="s">
        <v>43</v>
      </c>
      <c r="F19" s="10" t="s">
        <v>44</v>
      </c>
      <c r="G19" s="10" t="s">
        <v>45</v>
      </c>
      <c r="H19" s="10"/>
      <c r="I19" s="11" t="s">
        <v>101</v>
      </c>
      <c r="J19" s="11" t="s">
        <v>14</v>
      </c>
      <c r="K19" s="10" t="s">
        <v>14</v>
      </c>
      <c r="L19" s="10" t="s">
        <v>47</v>
      </c>
      <c r="M19" s="10"/>
      <c r="N19" s="10" t="s">
        <v>48</v>
      </c>
      <c r="O19" s="11"/>
    </row>
    <row r="20" customFormat="false" ht="23.25" hidden="false" customHeight="true" outlineLevel="0" collapsed="false">
      <c r="A20" s="10" t="s">
        <v>102</v>
      </c>
      <c r="B20" s="10" t="s">
        <v>103</v>
      </c>
      <c r="C20" s="10" t="s">
        <v>100</v>
      </c>
      <c r="D20" s="10"/>
      <c r="E20" s="10" t="s">
        <v>43</v>
      </c>
      <c r="F20" s="10" t="s">
        <v>44</v>
      </c>
      <c r="G20" s="10" t="s">
        <v>45</v>
      </c>
      <c r="H20" s="10"/>
      <c r="I20" s="11" t="s">
        <v>104</v>
      </c>
      <c r="J20" s="11" t="s">
        <v>14</v>
      </c>
      <c r="K20" s="10" t="s">
        <v>14</v>
      </c>
      <c r="L20" s="10" t="s">
        <v>47</v>
      </c>
      <c r="M20" s="10"/>
      <c r="N20" s="10" t="s">
        <v>48</v>
      </c>
      <c r="O20" s="11"/>
    </row>
    <row r="21" customFormat="false" ht="34.5" hidden="false" customHeight="true" outlineLevel="0" collapsed="false">
      <c r="A21" s="10" t="s">
        <v>105</v>
      </c>
      <c r="B21" s="10" t="s">
        <v>106</v>
      </c>
      <c r="C21" s="10" t="s">
        <v>100</v>
      </c>
      <c r="D21" s="10"/>
      <c r="E21" s="10" t="s">
        <v>43</v>
      </c>
      <c r="F21" s="10" t="s">
        <v>44</v>
      </c>
      <c r="G21" s="10" t="s">
        <v>45</v>
      </c>
      <c r="H21" s="10"/>
      <c r="I21" s="11" t="s">
        <v>107</v>
      </c>
      <c r="J21" s="11" t="s">
        <v>14</v>
      </c>
      <c r="K21" s="10" t="s">
        <v>14</v>
      </c>
      <c r="L21" s="10" t="s">
        <v>47</v>
      </c>
      <c r="M21" s="10"/>
      <c r="N21" s="10" t="s">
        <v>48</v>
      </c>
      <c r="O21" s="11"/>
    </row>
    <row r="22" customFormat="false" ht="34.5" hidden="false" customHeight="true" outlineLevel="0" collapsed="false">
      <c r="A22" s="10" t="s">
        <v>108</v>
      </c>
      <c r="B22" s="10" t="s">
        <v>109</v>
      </c>
      <c r="C22" s="10" t="s">
        <v>100</v>
      </c>
      <c r="D22" s="10"/>
      <c r="E22" s="10" t="s">
        <v>43</v>
      </c>
      <c r="F22" s="10" t="s">
        <v>44</v>
      </c>
      <c r="G22" s="10" t="s">
        <v>45</v>
      </c>
      <c r="H22" s="10"/>
      <c r="I22" s="11" t="s">
        <v>110</v>
      </c>
      <c r="J22" s="11" t="s">
        <v>14</v>
      </c>
      <c r="K22" s="10" t="s">
        <v>14</v>
      </c>
      <c r="L22" s="10" t="s">
        <v>47</v>
      </c>
      <c r="M22" s="10"/>
      <c r="N22" s="10" t="s">
        <v>48</v>
      </c>
      <c r="O22" s="11"/>
    </row>
    <row r="23" customFormat="false" ht="37.5" hidden="false" customHeight="true" outlineLevel="0" collapsed="false">
      <c r="A23" s="10" t="s">
        <v>111</v>
      </c>
      <c r="B23" s="10" t="s">
        <v>112</v>
      </c>
      <c r="C23" s="10" t="s">
        <v>100</v>
      </c>
      <c r="D23" s="10"/>
      <c r="E23" s="10" t="s">
        <v>43</v>
      </c>
      <c r="F23" s="10" t="s">
        <v>44</v>
      </c>
      <c r="G23" s="10" t="s">
        <v>45</v>
      </c>
      <c r="H23" s="10"/>
      <c r="I23" s="11" t="s">
        <v>113</v>
      </c>
      <c r="J23" s="11" t="s">
        <v>14</v>
      </c>
      <c r="K23" s="10" t="s">
        <v>14</v>
      </c>
      <c r="L23" s="10" t="s">
        <v>47</v>
      </c>
      <c r="M23" s="10"/>
      <c r="N23" s="10" t="s">
        <v>48</v>
      </c>
      <c r="O23" s="11"/>
    </row>
    <row r="24" customFormat="false" ht="40.5" hidden="false" customHeight="true" outlineLevel="0" collapsed="false">
      <c r="A24" s="10" t="s">
        <v>114</v>
      </c>
      <c r="B24" s="10" t="s">
        <v>115</v>
      </c>
      <c r="C24" s="10" t="s">
        <v>100</v>
      </c>
      <c r="D24" s="10"/>
      <c r="E24" s="10" t="s">
        <v>43</v>
      </c>
      <c r="F24" s="10" t="s">
        <v>44</v>
      </c>
      <c r="G24" s="10" t="s">
        <v>45</v>
      </c>
      <c r="H24" s="10"/>
      <c r="I24" s="11" t="s">
        <v>116</v>
      </c>
      <c r="J24" s="11" t="s">
        <v>14</v>
      </c>
      <c r="K24" s="10" t="s">
        <v>14</v>
      </c>
      <c r="L24" s="10" t="s">
        <v>47</v>
      </c>
      <c r="M24" s="10"/>
      <c r="N24" s="10" t="s">
        <v>48</v>
      </c>
      <c r="O24" s="11"/>
    </row>
    <row r="25" customFormat="false" ht="15" hidden="false" customHeight="true" outlineLevel="0" collapsed="false">
      <c r="A25" s="10" t="s">
        <v>117</v>
      </c>
      <c r="B25" s="10" t="s">
        <v>118</v>
      </c>
      <c r="C25" s="10" t="s">
        <v>100</v>
      </c>
      <c r="D25" s="10"/>
      <c r="E25" s="10" t="s">
        <v>43</v>
      </c>
      <c r="F25" s="10" t="s">
        <v>44</v>
      </c>
      <c r="G25" s="10" t="s">
        <v>45</v>
      </c>
      <c r="H25" s="10"/>
      <c r="I25" s="11" t="s">
        <v>119</v>
      </c>
      <c r="J25" s="11" t="s">
        <v>14</v>
      </c>
      <c r="K25" s="10" t="s">
        <v>14</v>
      </c>
      <c r="L25" s="10" t="s">
        <v>47</v>
      </c>
      <c r="M25" s="10"/>
      <c r="N25" s="10" t="s">
        <v>48</v>
      </c>
      <c r="O25" s="11"/>
    </row>
    <row r="26" customFormat="false" ht="15" hidden="false" customHeight="true" outlineLevel="0" collapsed="false">
      <c r="A26" s="10" t="s">
        <v>120</v>
      </c>
      <c r="B26" s="10" t="s">
        <v>121</v>
      </c>
      <c r="C26" s="10" t="s">
        <v>100</v>
      </c>
      <c r="D26" s="10"/>
      <c r="E26" s="10" t="s">
        <v>43</v>
      </c>
      <c r="F26" s="10" t="s">
        <v>44</v>
      </c>
      <c r="G26" s="10" t="s">
        <v>45</v>
      </c>
      <c r="H26" s="10"/>
      <c r="I26" s="11" t="s">
        <v>122</v>
      </c>
      <c r="J26" s="11" t="s">
        <v>14</v>
      </c>
      <c r="K26" s="10" t="s">
        <v>14</v>
      </c>
      <c r="L26" s="10" t="s">
        <v>47</v>
      </c>
      <c r="M26" s="10"/>
      <c r="N26" s="10" t="s">
        <v>48</v>
      </c>
      <c r="O26" s="11"/>
    </row>
    <row r="27" customFormat="false" ht="23.25" hidden="false" customHeight="true" outlineLevel="0" collapsed="false">
      <c r="A27" s="10" t="s">
        <v>123</v>
      </c>
      <c r="B27" s="10" t="s">
        <v>124</v>
      </c>
      <c r="C27" s="10" t="s">
        <v>100</v>
      </c>
      <c r="D27" s="10"/>
      <c r="E27" s="10" t="s">
        <v>43</v>
      </c>
      <c r="F27" s="10" t="s">
        <v>44</v>
      </c>
      <c r="G27" s="10" t="s">
        <v>45</v>
      </c>
      <c r="H27" s="10"/>
      <c r="I27" s="11" t="s">
        <v>125</v>
      </c>
      <c r="J27" s="11" t="s">
        <v>14</v>
      </c>
      <c r="K27" s="10" t="s">
        <v>14</v>
      </c>
      <c r="L27" s="10" t="s">
        <v>47</v>
      </c>
      <c r="M27" s="10"/>
      <c r="N27" s="10" t="s">
        <v>48</v>
      </c>
      <c r="O27" s="11"/>
    </row>
    <row r="28" customFormat="false" ht="15" hidden="false" customHeight="true" outlineLevel="0" collapsed="false">
      <c r="A28" s="10" t="s">
        <v>126</v>
      </c>
      <c r="B28" s="10" t="s">
        <v>127</v>
      </c>
      <c r="C28" s="10" t="s">
        <v>100</v>
      </c>
      <c r="D28" s="10"/>
      <c r="E28" s="10" t="s">
        <v>43</v>
      </c>
      <c r="F28" s="10" t="s">
        <v>44</v>
      </c>
      <c r="G28" s="10" t="s">
        <v>45</v>
      </c>
      <c r="H28" s="10"/>
      <c r="I28" s="11" t="s">
        <v>128</v>
      </c>
      <c r="J28" s="11" t="s">
        <v>14</v>
      </c>
      <c r="K28" s="10" t="s">
        <v>14</v>
      </c>
      <c r="L28" s="10" t="s">
        <v>47</v>
      </c>
      <c r="M28" s="10"/>
      <c r="N28" s="10" t="s">
        <v>48</v>
      </c>
      <c r="O28" s="11"/>
    </row>
    <row r="29" customFormat="false" ht="23.25" hidden="false" customHeight="true" outlineLevel="0" collapsed="false">
      <c r="A29" s="10" t="s">
        <v>129</v>
      </c>
      <c r="B29" s="10" t="s">
        <v>130</v>
      </c>
      <c r="C29" s="10" t="s">
        <v>100</v>
      </c>
      <c r="D29" s="10"/>
      <c r="E29" s="10" t="s">
        <v>43</v>
      </c>
      <c r="F29" s="10" t="s">
        <v>44</v>
      </c>
      <c r="G29" s="10" t="s">
        <v>45</v>
      </c>
      <c r="H29" s="10"/>
      <c r="I29" s="11" t="s">
        <v>131</v>
      </c>
      <c r="J29" s="11" t="s">
        <v>14</v>
      </c>
      <c r="K29" s="10" t="s">
        <v>14</v>
      </c>
      <c r="L29" s="10" t="s">
        <v>47</v>
      </c>
      <c r="M29" s="10"/>
      <c r="N29" s="10" t="s">
        <v>48</v>
      </c>
      <c r="O29" s="11"/>
    </row>
    <row r="30" customFormat="false" ht="23.25" hidden="false" customHeight="true" outlineLevel="0" collapsed="false">
      <c r="A30" s="10" t="s">
        <v>132</v>
      </c>
      <c r="B30" s="10" t="s">
        <v>133</v>
      </c>
      <c r="C30" s="10" t="s">
        <v>100</v>
      </c>
      <c r="D30" s="10"/>
      <c r="E30" s="10" t="s">
        <v>43</v>
      </c>
      <c r="F30" s="10" t="s">
        <v>44</v>
      </c>
      <c r="G30" s="10" t="s">
        <v>45</v>
      </c>
      <c r="H30" s="10"/>
      <c r="I30" s="11" t="s">
        <v>134</v>
      </c>
      <c r="J30" s="11" t="s">
        <v>14</v>
      </c>
      <c r="K30" s="10" t="s">
        <v>14</v>
      </c>
      <c r="L30" s="10" t="s">
        <v>47</v>
      </c>
      <c r="M30" s="10"/>
      <c r="N30" s="10" t="s">
        <v>48</v>
      </c>
      <c r="O30" s="11"/>
    </row>
    <row r="31" customFormat="false" ht="23.25" hidden="false" customHeight="true" outlineLevel="0" collapsed="false">
      <c r="A31" s="10" t="s">
        <v>135</v>
      </c>
      <c r="B31" s="10" t="s">
        <v>136</v>
      </c>
      <c r="C31" s="10" t="s">
        <v>100</v>
      </c>
      <c r="D31" s="10"/>
      <c r="E31" s="10" t="s">
        <v>43</v>
      </c>
      <c r="F31" s="10" t="s">
        <v>44</v>
      </c>
      <c r="G31" s="10" t="s">
        <v>45</v>
      </c>
      <c r="H31" s="10"/>
      <c r="I31" s="11" t="s">
        <v>137</v>
      </c>
      <c r="J31" s="11" t="s">
        <v>14</v>
      </c>
      <c r="K31" s="10" t="s">
        <v>14</v>
      </c>
      <c r="L31" s="10" t="s">
        <v>47</v>
      </c>
      <c r="M31" s="10"/>
      <c r="N31" s="10" t="s">
        <v>48</v>
      </c>
      <c r="O31" s="11"/>
    </row>
    <row r="32" customFormat="false" ht="34.5" hidden="false" customHeight="true" outlineLevel="0" collapsed="false">
      <c r="A32" s="10" t="s">
        <v>138</v>
      </c>
      <c r="B32" s="10" t="s">
        <v>139</v>
      </c>
      <c r="C32" s="10" t="s">
        <v>100</v>
      </c>
      <c r="D32" s="10"/>
      <c r="E32" s="10" t="s">
        <v>43</v>
      </c>
      <c r="F32" s="10" t="s">
        <v>44</v>
      </c>
      <c r="G32" s="10" t="s">
        <v>45</v>
      </c>
      <c r="H32" s="10"/>
      <c r="I32" s="11" t="s">
        <v>140</v>
      </c>
      <c r="J32" s="11" t="s">
        <v>14</v>
      </c>
      <c r="K32" s="10" t="s">
        <v>14</v>
      </c>
      <c r="L32" s="10" t="s">
        <v>47</v>
      </c>
      <c r="M32" s="10"/>
      <c r="N32" s="10" t="s">
        <v>48</v>
      </c>
      <c r="O32" s="11"/>
    </row>
    <row r="33" customFormat="false" ht="23.25" hidden="false" customHeight="true" outlineLevel="0" collapsed="false">
      <c r="A33" s="10" t="s">
        <v>141</v>
      </c>
      <c r="B33" s="10" t="s">
        <v>142</v>
      </c>
      <c r="C33" s="10" t="s">
        <v>100</v>
      </c>
      <c r="D33" s="10"/>
      <c r="E33" s="10" t="s">
        <v>43</v>
      </c>
      <c r="F33" s="10" t="s">
        <v>44</v>
      </c>
      <c r="G33" s="10" t="s">
        <v>45</v>
      </c>
      <c r="H33" s="10"/>
      <c r="I33" s="11" t="s">
        <v>143</v>
      </c>
      <c r="J33" s="11" t="s">
        <v>14</v>
      </c>
      <c r="K33" s="10" t="s">
        <v>14</v>
      </c>
      <c r="L33" s="10" t="s">
        <v>47</v>
      </c>
      <c r="M33" s="10"/>
      <c r="N33" s="10" t="s">
        <v>48</v>
      </c>
      <c r="O33" s="11"/>
    </row>
    <row r="34" customFormat="false" ht="23.25" hidden="false" customHeight="true" outlineLevel="0" collapsed="false">
      <c r="A34" s="10" t="s">
        <v>144</v>
      </c>
      <c r="B34" s="10" t="s">
        <v>145</v>
      </c>
      <c r="C34" s="10" t="s">
        <v>100</v>
      </c>
      <c r="D34" s="10"/>
      <c r="E34" s="10" t="s">
        <v>43</v>
      </c>
      <c r="F34" s="10" t="s">
        <v>44</v>
      </c>
      <c r="G34" s="10" t="s">
        <v>45</v>
      </c>
      <c r="H34" s="10"/>
      <c r="I34" s="11" t="s">
        <v>146</v>
      </c>
      <c r="J34" s="11" t="s">
        <v>14</v>
      </c>
      <c r="K34" s="10" t="s">
        <v>14</v>
      </c>
      <c r="L34" s="10" t="s">
        <v>47</v>
      </c>
      <c r="M34" s="10"/>
      <c r="N34" s="10" t="s">
        <v>48</v>
      </c>
      <c r="O34" s="11"/>
    </row>
    <row r="35" customFormat="false" ht="69" hidden="false" customHeight="true" outlineLevel="0" collapsed="false">
      <c r="A35" s="10" t="s">
        <v>147</v>
      </c>
      <c r="B35" s="10" t="s">
        <v>148</v>
      </c>
      <c r="C35" s="10" t="s">
        <v>149</v>
      </c>
      <c r="D35" s="10"/>
      <c r="E35" s="10" t="s">
        <v>43</v>
      </c>
      <c r="F35" s="10" t="s">
        <v>44</v>
      </c>
      <c r="G35" s="10" t="s">
        <v>45</v>
      </c>
      <c r="H35" s="10"/>
      <c r="I35" s="11" t="s">
        <v>150</v>
      </c>
      <c r="J35" s="11" t="s">
        <v>14</v>
      </c>
      <c r="K35" s="10" t="s">
        <v>14</v>
      </c>
      <c r="L35" s="10" t="s">
        <v>47</v>
      </c>
      <c r="M35" s="10"/>
      <c r="N35" s="10" t="s">
        <v>48</v>
      </c>
      <c r="O35" s="11"/>
    </row>
    <row r="36" customFormat="false" ht="37.5" hidden="false" customHeight="true" outlineLevel="0" collapsed="false">
      <c r="A36" s="10" t="s">
        <v>151</v>
      </c>
      <c r="B36" s="10" t="s">
        <v>152</v>
      </c>
      <c r="C36" s="10" t="s">
        <v>149</v>
      </c>
      <c r="D36" s="10"/>
      <c r="E36" s="10" t="s">
        <v>43</v>
      </c>
      <c r="F36" s="10" t="s">
        <v>44</v>
      </c>
      <c r="G36" s="10" t="s">
        <v>45</v>
      </c>
      <c r="H36" s="10"/>
      <c r="I36" s="11" t="s">
        <v>153</v>
      </c>
      <c r="J36" s="11" t="s">
        <v>14</v>
      </c>
      <c r="K36" s="10" t="s">
        <v>14</v>
      </c>
      <c r="L36" s="10" t="s">
        <v>47</v>
      </c>
      <c r="M36" s="10"/>
      <c r="N36" s="10" t="s">
        <v>48</v>
      </c>
      <c r="O36" s="11"/>
    </row>
    <row r="37" customFormat="false" ht="15" hidden="false" customHeight="true" outlineLevel="0" collapsed="false">
      <c r="A37" s="10" t="s">
        <v>154</v>
      </c>
      <c r="B37" s="10" t="s">
        <v>155</v>
      </c>
      <c r="C37" s="10" t="s">
        <v>149</v>
      </c>
      <c r="D37" s="10"/>
      <c r="E37" s="10" t="s">
        <v>43</v>
      </c>
      <c r="F37" s="10" t="s">
        <v>44</v>
      </c>
      <c r="G37" s="10" t="s">
        <v>45</v>
      </c>
      <c r="H37" s="10"/>
      <c r="I37" s="11" t="s">
        <v>156</v>
      </c>
      <c r="J37" s="11" t="s">
        <v>14</v>
      </c>
      <c r="K37" s="10" t="s">
        <v>14</v>
      </c>
      <c r="L37" s="10" t="s">
        <v>47</v>
      </c>
      <c r="M37" s="10"/>
      <c r="N37" s="10" t="s">
        <v>48</v>
      </c>
      <c r="O37" s="11"/>
    </row>
    <row r="38" customFormat="false" ht="34.5" hidden="false" customHeight="true" outlineLevel="0" collapsed="false">
      <c r="A38" s="10" t="s">
        <v>157</v>
      </c>
      <c r="B38" s="10" t="s">
        <v>158</v>
      </c>
      <c r="C38" s="10" t="s">
        <v>149</v>
      </c>
      <c r="D38" s="10"/>
      <c r="E38" s="10" t="s">
        <v>43</v>
      </c>
      <c r="F38" s="10" t="s">
        <v>44</v>
      </c>
      <c r="G38" s="10" t="s">
        <v>45</v>
      </c>
      <c r="H38" s="10"/>
      <c r="I38" s="11" t="s">
        <v>159</v>
      </c>
      <c r="J38" s="11" t="s">
        <v>14</v>
      </c>
      <c r="K38" s="10" t="s">
        <v>14</v>
      </c>
      <c r="L38" s="10" t="s">
        <v>47</v>
      </c>
      <c r="M38" s="10"/>
      <c r="N38" s="10" t="s">
        <v>48</v>
      </c>
      <c r="O38" s="11"/>
    </row>
    <row r="39" customFormat="false" ht="34.5" hidden="false" customHeight="true" outlineLevel="0" collapsed="false">
      <c r="A39" s="10" t="s">
        <v>160</v>
      </c>
      <c r="B39" s="10" t="s">
        <v>161</v>
      </c>
      <c r="C39" s="10" t="s">
        <v>149</v>
      </c>
      <c r="D39" s="10"/>
      <c r="E39" s="10" t="s">
        <v>43</v>
      </c>
      <c r="F39" s="10" t="s">
        <v>44</v>
      </c>
      <c r="G39" s="10" t="s">
        <v>45</v>
      </c>
      <c r="H39" s="10"/>
      <c r="I39" s="11" t="s">
        <v>162</v>
      </c>
      <c r="J39" s="11" t="s">
        <v>14</v>
      </c>
      <c r="K39" s="10" t="s">
        <v>14</v>
      </c>
      <c r="L39" s="10" t="s">
        <v>47</v>
      </c>
      <c r="M39" s="10"/>
      <c r="N39" s="10" t="s">
        <v>48</v>
      </c>
      <c r="O39" s="11"/>
    </row>
    <row r="40" customFormat="false" ht="15" hidden="false" customHeight="true" outlineLevel="0" collapsed="false">
      <c r="A40" s="10" t="s">
        <v>163</v>
      </c>
      <c r="B40" s="10" t="s">
        <v>164</v>
      </c>
      <c r="C40" s="10" t="s">
        <v>165</v>
      </c>
      <c r="D40" s="10"/>
      <c r="E40" s="10" t="s">
        <v>43</v>
      </c>
      <c r="F40" s="10" t="s">
        <v>44</v>
      </c>
      <c r="G40" s="10" t="s">
        <v>45</v>
      </c>
      <c r="H40" s="10"/>
      <c r="I40" s="11" t="s">
        <v>166</v>
      </c>
      <c r="J40" s="11" t="s">
        <v>14</v>
      </c>
      <c r="K40" s="10" t="s">
        <v>14</v>
      </c>
      <c r="L40" s="10" t="s">
        <v>47</v>
      </c>
      <c r="M40" s="10"/>
      <c r="N40" s="10" t="s">
        <v>48</v>
      </c>
      <c r="O40" s="11"/>
    </row>
    <row r="41" customFormat="false" ht="43.5" hidden="false" customHeight="true" outlineLevel="0" collapsed="false">
      <c r="A41" s="10" t="s">
        <v>167</v>
      </c>
      <c r="B41" s="10" t="s">
        <v>168</v>
      </c>
      <c r="C41" s="10" t="s">
        <v>169</v>
      </c>
      <c r="D41" s="10"/>
      <c r="E41" s="10" t="s">
        <v>43</v>
      </c>
      <c r="F41" s="10" t="s">
        <v>44</v>
      </c>
      <c r="G41" s="10" t="s">
        <v>45</v>
      </c>
      <c r="H41" s="10"/>
      <c r="I41" s="11" t="s">
        <v>170</v>
      </c>
      <c r="J41" s="11" t="s">
        <v>14</v>
      </c>
      <c r="K41" s="10" t="s">
        <v>14</v>
      </c>
      <c r="L41" s="10" t="s">
        <v>47</v>
      </c>
      <c r="M41" s="10"/>
      <c r="N41" s="10" t="s">
        <v>48</v>
      </c>
      <c r="O41" s="11"/>
    </row>
  </sheetData>
  <autoFilter ref="A1:O41"/>
  <conditionalFormatting sqref="K2:K41">
    <cfRule type="expression" priority="2" aboveAverage="0" equalAverage="0" bottom="0" percent="0" rank="0" text="" dxfId="5">
      <formula>EXACT($K2,"Passed")</formula>
    </cfRule>
    <cfRule type="expression" priority="3" aboveAverage="0" equalAverage="0" bottom="0" percent="0" rank="0" text="" dxfId="6">
      <formula>EXACT($K2,"Failed")</formula>
    </cfRule>
    <cfRule type="expression" priority="4" aboveAverage="0" equalAverage="0" bottom="0" percent="0" rank="0" text="" dxfId="7">
      <formula>EXACT($K2,"Blocked")</formula>
    </cfRule>
    <cfRule type="expression" priority="5" aboveAverage="0" equalAverage="0" bottom="0" percent="0" rank="0" text="" dxfId="8">
      <formula>EXACT($K2,"Not Executed")</formula>
    </cfRule>
    <cfRule type="expression" priority="6" aboveAverage="0" equalAverage="0" bottom="0" percent="0" rank="0" text="" dxfId="9">
      <formula>EXACT($K2,"Not Applicable")</formula>
    </cfRule>
  </conditionalFormatting>
  <dataValidations count="1">
    <dataValidation allowBlank="true" errorStyle="stop" operator="between" showDropDown="false" showErrorMessage="false" showInputMessage="false" sqref="K2:K41" type="list">
      <formula1>"Not Executed,Passed,Failed,Blocked,Not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48"/>
    <col collapsed="false" customWidth="true" hidden="false" outlineLevel="0" max="7" min="7" style="1" width="22"/>
    <col collapsed="false" customWidth="true" hidden="false" outlineLevel="0" max="9" min="8" style="1" width="38"/>
    <col collapsed="false" customWidth="true" hidden="false" outlineLevel="0" max="10" min="10" style="1" width="17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6"/>
    <col collapsed="false" customWidth="true" hidden="false" outlineLevel="0" max="14" min="14" style="1" width="22"/>
    <col collapsed="false" customWidth="true" hidden="false" outlineLevel="0" max="15" min="15" style="1" width="17"/>
    <col collapsed="false" customWidth="true" hidden="false" outlineLevel="0" max="16" min="16" style="1" width="15"/>
    <col collapsed="false" customWidth="true" hidden="false" outlineLevel="0" max="17" min="17" style="1" width="16"/>
    <col collapsed="false" customWidth="true" hidden="false" outlineLevel="0" max="18" min="18" style="1" width="30"/>
  </cols>
  <sheetData>
    <row r="1" customFormat="false" ht="30" hidden="false" customHeight="true" outlineLevel="0" collapsed="false">
      <c r="A1" s="9" t="s">
        <v>171</v>
      </c>
      <c r="B1" s="9" t="s">
        <v>172</v>
      </c>
      <c r="C1" s="9" t="s">
        <v>27</v>
      </c>
      <c r="D1" s="9" t="s">
        <v>173</v>
      </c>
      <c r="E1" s="9" t="s">
        <v>174</v>
      </c>
      <c r="F1" s="9" t="s">
        <v>175</v>
      </c>
      <c r="G1" s="9" t="s">
        <v>176</v>
      </c>
      <c r="H1" s="9" t="s">
        <v>33</v>
      </c>
      <c r="I1" s="9" t="s">
        <v>34</v>
      </c>
      <c r="J1" s="9" t="s">
        <v>177</v>
      </c>
      <c r="K1" s="9" t="s">
        <v>178</v>
      </c>
      <c r="L1" s="9" t="s">
        <v>179</v>
      </c>
      <c r="M1" s="9" t="s">
        <v>35</v>
      </c>
      <c r="N1" s="9" t="s">
        <v>180</v>
      </c>
      <c r="O1" s="9" t="s">
        <v>181</v>
      </c>
      <c r="P1" s="9" t="s">
        <v>182</v>
      </c>
      <c r="Q1" s="9" t="s">
        <v>183</v>
      </c>
      <c r="R1" s="9" t="s">
        <v>39</v>
      </c>
      <c r="T1" s="12" t="s">
        <v>184</v>
      </c>
    </row>
    <row r="3" customFormat="false" ht="15" hidden="false" customHeight="true" outlineLevel="0" collapsed="false">
      <c r="A3" s="13"/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2026-09-01T23:42:31Z</dcterms:created>
  <dc:creator>openpyxl</dc:creator>
  <dc:description/>
  <dc:language>en-US</dc:language>
  <cp:lastModifiedBy/>
  <dcterms:modified xsi:type="dcterms:W3CDTF">2026-09-01T23:42:52Z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